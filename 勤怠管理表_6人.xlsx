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勤怠管理表" sheetId="1" state="visible" r:id="rId1"/>
    <sheet name="祝日一覧" sheetId="2" state="visible" r:id="rId2"/>
    <sheet name="集計" sheetId="3" state="visible" r:id="rId3"/>
  </sheets>
  <definedNames>
    <definedName name="_xlnm._FilterDatabase" localSheetId="0" hidden="1">'勤怠管理表'!$A$5:$AH$11</definedName>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sz val="16"/>
    </font>
    <font>
      <b val="1"/>
    </font>
  </fonts>
  <fills count="5">
    <fill>
      <patternFill/>
    </fill>
    <fill>
      <patternFill patternType="gray125"/>
    </fill>
    <fill>
      <patternFill patternType="solid">
        <fgColor rgb="004472C4"/>
      </patternFill>
    </fill>
    <fill>
      <patternFill patternType="solid">
        <fgColor rgb="00D9EAF7"/>
      </patternFill>
    </fill>
    <fill>
      <patternFill patternType="solid">
        <fgColor rgb="00E2F0D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xf>
    <xf numFmtId="0" fontId="0" fillId="0" borderId="1" applyAlignment="1" pivotButton="0" quotePrefix="0" xfId="0">
      <alignment horizontal="center"/>
    </xf>
    <xf numFmtId="0" fontId="2" fillId="3" borderId="1" pivotButton="0" quotePrefix="0" xfId="0"/>
    <xf numFmtId="164" fontId="0" fillId="0" borderId="1" pivotButton="0" quotePrefix="0" xfId="0"/>
    <xf numFmtId="0" fontId="0" fillId="0" borderId="1" pivotButton="0" quotePrefix="0" xfId="0"/>
    <xf numFmtId="0" fontId="2" fillId="4" borderId="1" applyAlignment="1" pivotButton="0" quotePrefix="0" xfId="0">
      <alignment horizontal="center"/>
    </xf>
  </cellXfs>
  <cellStyles count="1">
    <cellStyle name="Normal" xfId="0" builtinId="0" hidden="0"/>
  </cellStyles>
  <dxfs count="1">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pane xSplit="3" ySplit="5" topLeftCell="D6"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4"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s>
  <sheetData>
    <row r="1">
      <c r="A1" s="1">
        <f>IF(AND(B2&lt;&gt;"",B3&lt;&gt;""),B2&amp;"年"&amp;B3&amp;"月 6人用勤怠・休暇管理表","対象年/月を入力してください")</f>
        <v/>
      </c>
    </row>
    <row r="2">
      <c r="A2" s="2" t="inlineStr">
        <is>
          <t>対象年</t>
        </is>
      </c>
      <c r="B2" s="2" t="n">
        <v>2026</v>
      </c>
    </row>
    <row r="3">
      <c r="A3" s="2" t="inlineStr">
        <is>
          <t>対象月</t>
        </is>
      </c>
      <c r="B3" s="2" t="n">
        <v>10</v>
      </c>
    </row>
    <row r="5">
      <c r="A5" s="2" t="inlineStr">
        <is>
          <t>氏名</t>
        </is>
      </c>
      <c r="B5" s="2" t="inlineStr">
        <is>
          <t>所属</t>
        </is>
      </c>
      <c r="C5" s="2" t="inlineStr">
        <is>
          <t>勤務区分</t>
        </is>
      </c>
      <c r="D5" s="2">
        <f>IF(AND($B$2&lt;&gt;"",$B$3&lt;&gt;"",1&lt;=DAY(EOMONTH(DATE($B$2,$B$3,1),0))),DATE($B$2,$B$3,1),"")</f>
        <v/>
      </c>
      <c r="E5" s="2">
        <f>IF(AND($B$2&lt;&gt;"",$B$3&lt;&gt;"",2&lt;=DAY(EOMONTH(DATE($B$2,$B$3,1),0))),DATE($B$2,$B$3,2),"")</f>
        <v/>
      </c>
      <c r="F5" s="2">
        <f>IF(AND($B$2&lt;&gt;"",$B$3&lt;&gt;"",3&lt;=DAY(EOMONTH(DATE($B$2,$B$3,1),0))),DATE($B$2,$B$3,3),"")</f>
        <v/>
      </c>
      <c r="G5" s="2">
        <f>IF(AND($B$2&lt;&gt;"",$B$3&lt;&gt;"",4&lt;=DAY(EOMONTH(DATE($B$2,$B$3,1),0))),DATE($B$2,$B$3,4),"")</f>
        <v/>
      </c>
      <c r="H5" s="2">
        <f>IF(AND($B$2&lt;&gt;"",$B$3&lt;&gt;"",5&lt;=DAY(EOMONTH(DATE($B$2,$B$3,1),0))),DATE($B$2,$B$3,5),"")</f>
        <v/>
      </c>
      <c r="I5" s="2">
        <f>IF(AND($B$2&lt;&gt;"",$B$3&lt;&gt;"",6&lt;=DAY(EOMONTH(DATE($B$2,$B$3,1),0))),DATE($B$2,$B$3,6),"")</f>
        <v/>
      </c>
      <c r="J5" s="2">
        <f>IF(AND($B$2&lt;&gt;"",$B$3&lt;&gt;"",7&lt;=DAY(EOMONTH(DATE($B$2,$B$3,1),0))),DATE($B$2,$B$3,7),"")</f>
        <v/>
      </c>
      <c r="K5" s="2">
        <f>IF(AND($B$2&lt;&gt;"",$B$3&lt;&gt;"",8&lt;=DAY(EOMONTH(DATE($B$2,$B$3,1),0))),DATE($B$2,$B$3,8),"")</f>
        <v/>
      </c>
      <c r="L5" s="2">
        <f>IF(AND($B$2&lt;&gt;"",$B$3&lt;&gt;"",9&lt;=DAY(EOMONTH(DATE($B$2,$B$3,1),0))),DATE($B$2,$B$3,9),"")</f>
        <v/>
      </c>
      <c r="M5" s="2">
        <f>IF(AND($B$2&lt;&gt;"",$B$3&lt;&gt;"",10&lt;=DAY(EOMONTH(DATE($B$2,$B$3,1),0))),DATE($B$2,$B$3,10),"")</f>
        <v/>
      </c>
      <c r="N5" s="2">
        <f>IF(AND($B$2&lt;&gt;"",$B$3&lt;&gt;"",11&lt;=DAY(EOMONTH(DATE($B$2,$B$3,1),0))),DATE($B$2,$B$3,11),"")</f>
        <v/>
      </c>
      <c r="O5" s="2">
        <f>IF(AND($B$2&lt;&gt;"",$B$3&lt;&gt;"",12&lt;=DAY(EOMONTH(DATE($B$2,$B$3,1),0))),DATE($B$2,$B$3,12),"")</f>
        <v/>
      </c>
      <c r="P5" s="2">
        <f>IF(AND($B$2&lt;&gt;"",$B$3&lt;&gt;"",13&lt;=DAY(EOMONTH(DATE($B$2,$B$3,1),0))),DATE($B$2,$B$3,13),"")</f>
        <v/>
      </c>
      <c r="Q5" s="2">
        <f>IF(AND($B$2&lt;&gt;"",$B$3&lt;&gt;"",14&lt;=DAY(EOMONTH(DATE($B$2,$B$3,1),0))),DATE($B$2,$B$3,14),"")</f>
        <v/>
      </c>
      <c r="R5" s="2">
        <f>IF(AND($B$2&lt;&gt;"",$B$3&lt;&gt;"",15&lt;=DAY(EOMONTH(DATE($B$2,$B$3,1),0))),DATE($B$2,$B$3,15),"")</f>
        <v/>
      </c>
      <c r="S5" s="2">
        <f>IF(AND($B$2&lt;&gt;"",$B$3&lt;&gt;"",16&lt;=DAY(EOMONTH(DATE($B$2,$B$3,1),0))),DATE($B$2,$B$3,16),"")</f>
        <v/>
      </c>
      <c r="T5" s="2">
        <f>IF(AND($B$2&lt;&gt;"",$B$3&lt;&gt;"",17&lt;=DAY(EOMONTH(DATE($B$2,$B$3,1),0))),DATE($B$2,$B$3,17),"")</f>
        <v/>
      </c>
      <c r="U5" s="2">
        <f>IF(AND($B$2&lt;&gt;"",$B$3&lt;&gt;"",18&lt;=DAY(EOMONTH(DATE($B$2,$B$3,1),0))),DATE($B$2,$B$3,18),"")</f>
        <v/>
      </c>
      <c r="V5" s="2">
        <f>IF(AND($B$2&lt;&gt;"",$B$3&lt;&gt;"",19&lt;=DAY(EOMONTH(DATE($B$2,$B$3,1),0))),DATE($B$2,$B$3,19),"")</f>
        <v/>
      </c>
      <c r="W5" s="2">
        <f>IF(AND($B$2&lt;&gt;"",$B$3&lt;&gt;"",20&lt;=DAY(EOMONTH(DATE($B$2,$B$3,1),0))),DATE($B$2,$B$3,20),"")</f>
        <v/>
      </c>
      <c r="X5" s="2">
        <f>IF(AND($B$2&lt;&gt;"",$B$3&lt;&gt;"",21&lt;=DAY(EOMONTH(DATE($B$2,$B$3,1),0))),DATE($B$2,$B$3,21),"")</f>
        <v/>
      </c>
      <c r="Y5" s="2">
        <f>IF(AND($B$2&lt;&gt;"",$B$3&lt;&gt;"",22&lt;=DAY(EOMONTH(DATE($B$2,$B$3,1),0))),DATE($B$2,$B$3,22),"")</f>
        <v/>
      </c>
      <c r="Z5" s="2">
        <f>IF(AND($B$2&lt;&gt;"",$B$3&lt;&gt;"",23&lt;=DAY(EOMONTH(DATE($B$2,$B$3,1),0))),DATE($B$2,$B$3,23),"")</f>
        <v/>
      </c>
      <c r="AA5" s="2">
        <f>IF(AND($B$2&lt;&gt;"",$B$3&lt;&gt;"",24&lt;=DAY(EOMONTH(DATE($B$2,$B$3,1),0))),DATE($B$2,$B$3,24),"")</f>
        <v/>
      </c>
      <c r="AB5" s="2">
        <f>IF(AND($B$2&lt;&gt;"",$B$3&lt;&gt;"",25&lt;=DAY(EOMONTH(DATE($B$2,$B$3,1),0))),DATE($B$2,$B$3,25),"")</f>
        <v/>
      </c>
      <c r="AC5" s="2">
        <f>IF(AND($B$2&lt;&gt;"",$B$3&lt;&gt;"",26&lt;=DAY(EOMONTH(DATE($B$2,$B$3,1),0))),DATE($B$2,$B$3,26),"")</f>
        <v/>
      </c>
      <c r="AD5" s="2">
        <f>IF(AND($B$2&lt;&gt;"",$B$3&lt;&gt;"",27&lt;=DAY(EOMONTH(DATE($B$2,$B$3,1),0))),DATE($B$2,$B$3,27),"")</f>
        <v/>
      </c>
      <c r="AE5" s="2">
        <f>IF(AND($B$2&lt;&gt;"",$B$3&lt;&gt;"",28&lt;=DAY(EOMONTH(DATE($B$2,$B$3,1),0))),DATE($B$2,$B$3,28),"")</f>
        <v/>
      </c>
      <c r="AF5" s="2">
        <f>IF(AND($B$2&lt;&gt;"",$B$3&lt;&gt;"",29&lt;=DAY(EOMONTH(DATE($B$2,$B$3,1),0))),DATE($B$2,$B$3,29),"")</f>
        <v/>
      </c>
      <c r="AG5" s="2">
        <f>IF(AND($B$2&lt;&gt;"",$B$3&lt;&gt;"",30&lt;=DAY(EOMONTH(DATE($B$2,$B$3,1),0))),DATE($B$2,$B$3,30),"")</f>
        <v/>
      </c>
      <c r="AH5" s="2">
        <f>IF(AND($B$2&lt;&gt;"",$B$3&lt;&gt;"",31&lt;=DAY(EOMONTH(DATE($B$2,$B$3,1),0))),DATE($B$2,$B$3,31),"")</f>
        <v/>
      </c>
    </row>
    <row r="6">
      <c r="A6" t="inlineStr">
        <is>
          <t>メンバー1</t>
        </is>
      </c>
      <c r="B6" t="inlineStr">
        <is>
          <t>部署A</t>
        </is>
      </c>
      <c r="C6" t="inlineStr">
        <is>
          <t>通常</t>
        </is>
      </c>
      <c r="D6" s="3" t="n"/>
      <c r="E6" s="3" t="n"/>
      <c r="F6" s="3" t="n"/>
      <c r="G6" s="3" t="n"/>
      <c r="H6" s="3" t="n"/>
      <c r="I6" s="3" t="n"/>
      <c r="J6" s="3" t="n"/>
      <c r="K6" s="3" t="n"/>
      <c r="L6" s="3" t="n"/>
      <c r="M6" s="3" t="n"/>
      <c r="N6" s="3" t="n"/>
      <c r="O6" s="3" t="n"/>
      <c r="P6" s="3" t="n"/>
      <c r="Q6" s="3" t="n"/>
      <c r="R6" s="3" t="n"/>
      <c r="S6" s="3" t="n"/>
      <c r="T6" s="3" t="n"/>
      <c r="U6" s="3" t="n"/>
      <c r="V6" s="3" t="n"/>
      <c r="W6" s="3" t="n"/>
      <c r="X6" s="3" t="n"/>
      <c r="Y6" s="3" t="n"/>
      <c r="Z6" s="3" t="n"/>
      <c r="AA6" s="3" t="n"/>
      <c r="AB6" s="3" t="n"/>
      <c r="AC6" s="3" t="n"/>
      <c r="AD6" s="3" t="n"/>
      <c r="AE6" s="3" t="n"/>
      <c r="AF6" s="3" t="n"/>
      <c r="AG6" s="3" t="n"/>
      <c r="AH6" s="3" t="n"/>
    </row>
    <row r="7">
      <c r="A7" t="inlineStr">
        <is>
          <t>メンバー2</t>
        </is>
      </c>
      <c r="B7" t="inlineStr">
        <is>
          <t>部署A</t>
        </is>
      </c>
      <c r="C7" t="inlineStr">
        <is>
          <t>通常</t>
        </is>
      </c>
      <c r="D7" s="3" t="n"/>
      <c r="E7" s="3" t="n"/>
      <c r="F7" s="3" t="n"/>
      <c r="G7" s="3" t="n"/>
      <c r="H7" s="3" t="n"/>
      <c r="I7" s="3" t="n"/>
      <c r="J7" s="3" t="n"/>
      <c r="K7" s="3" t="n"/>
      <c r="L7" s="3" t="n"/>
      <c r="M7" s="3" t="n"/>
      <c r="N7" s="3" t="n"/>
      <c r="O7" s="3" t="n"/>
      <c r="P7" s="3" t="n"/>
      <c r="Q7" s="3" t="n"/>
      <c r="R7" s="3" t="n"/>
      <c r="S7" s="3" t="n"/>
      <c r="T7" s="3" t="n"/>
      <c r="U7" s="3" t="n"/>
      <c r="V7" s="3" t="n"/>
      <c r="W7" s="3" t="n"/>
      <c r="X7" s="3" t="n"/>
      <c r="Y7" s="3" t="n"/>
      <c r="Z7" s="3" t="n"/>
      <c r="AA7" s="3" t="n"/>
      <c r="AB7" s="3" t="n"/>
      <c r="AC7" s="3" t="n"/>
      <c r="AD7" s="3" t="n"/>
      <c r="AE7" s="3" t="n"/>
      <c r="AF7" s="3" t="n"/>
      <c r="AG7" s="3" t="n"/>
      <c r="AH7" s="3" t="n"/>
    </row>
    <row r="8">
      <c r="A8" t="inlineStr">
        <is>
          <t>メンバー3</t>
        </is>
      </c>
      <c r="B8" t="inlineStr">
        <is>
          <t>部署A</t>
        </is>
      </c>
      <c r="C8" t="inlineStr">
        <is>
          <t>通常</t>
        </is>
      </c>
      <c r="D8" s="3" t="n"/>
      <c r="E8" s="3" t="n"/>
      <c r="F8" s="3" t="n"/>
      <c r="G8" s="3" t="n"/>
      <c r="H8" s="3" t="n"/>
      <c r="I8" s="3" t="n"/>
      <c r="J8" s="3" t="n"/>
      <c r="K8" s="3" t="n"/>
      <c r="L8" s="3" t="n"/>
      <c r="M8" s="3" t="n"/>
      <c r="N8" s="3" t="n"/>
      <c r="O8" s="3" t="n"/>
      <c r="P8" s="3" t="n"/>
      <c r="Q8" s="3" t="n"/>
      <c r="R8" s="3" t="n"/>
      <c r="S8" s="3" t="n"/>
      <c r="T8" s="3" t="n"/>
      <c r="U8" s="3" t="n"/>
      <c r="V8" s="3" t="n"/>
      <c r="W8" s="3" t="n"/>
      <c r="X8" s="3" t="n"/>
      <c r="Y8" s="3" t="n"/>
      <c r="Z8" s="3" t="n"/>
      <c r="AA8" s="3" t="n"/>
      <c r="AB8" s="3" t="n"/>
      <c r="AC8" s="3" t="n"/>
      <c r="AD8" s="3" t="n"/>
      <c r="AE8" s="3" t="n"/>
      <c r="AF8" s="3" t="n"/>
      <c r="AG8" s="3" t="n"/>
      <c r="AH8" s="3" t="n"/>
    </row>
    <row r="9">
      <c r="A9" t="inlineStr">
        <is>
          <t>メンバー4</t>
        </is>
      </c>
      <c r="B9" t="inlineStr">
        <is>
          <t>部署A</t>
        </is>
      </c>
      <c r="C9" t="inlineStr">
        <is>
          <t>通常</t>
        </is>
      </c>
      <c r="D9" s="3" t="n"/>
      <c r="E9" s="3" t="n"/>
      <c r="F9" s="3" t="n"/>
      <c r="G9" s="3" t="n"/>
      <c r="H9" s="3" t="n"/>
      <c r="I9" s="3" t="n"/>
      <c r="J9" s="3" t="n"/>
      <c r="K9" s="3" t="n"/>
      <c r="L9" s="3" t="n"/>
      <c r="M9" s="3" t="n"/>
      <c r="N9" s="3" t="n"/>
      <c r="O9" s="3" t="n"/>
      <c r="P9" s="3" t="n"/>
      <c r="Q9" s="3" t="n"/>
      <c r="R9" s="3" t="n"/>
      <c r="S9" s="3" t="n"/>
      <c r="T9" s="3" t="n"/>
      <c r="U9" s="3" t="n"/>
      <c r="V9" s="3" t="n"/>
      <c r="W9" s="3" t="n"/>
      <c r="X9" s="3" t="n"/>
      <c r="Y9" s="3" t="n"/>
      <c r="Z9" s="3" t="n"/>
      <c r="AA9" s="3" t="n"/>
      <c r="AB9" s="3" t="n"/>
      <c r="AC9" s="3" t="n"/>
      <c r="AD9" s="3" t="n"/>
      <c r="AE9" s="3" t="n"/>
      <c r="AF9" s="3" t="n"/>
      <c r="AG9" s="3" t="n"/>
      <c r="AH9" s="3" t="n"/>
    </row>
    <row r="10">
      <c r="A10" t="inlineStr">
        <is>
          <t>メンバー5</t>
        </is>
      </c>
      <c r="B10" t="inlineStr">
        <is>
          <t>部署A</t>
        </is>
      </c>
      <c r="C10" t="inlineStr">
        <is>
          <t>通常</t>
        </is>
      </c>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c r="AA10" s="3" t="n"/>
      <c r="AB10" s="3" t="n"/>
      <c r="AC10" s="3" t="n"/>
      <c r="AD10" s="3" t="n"/>
      <c r="AE10" s="3" t="n"/>
      <c r="AF10" s="3" t="n"/>
      <c r="AG10" s="3" t="n"/>
      <c r="AH10" s="3" t="n"/>
    </row>
    <row r="11">
      <c r="A11" t="inlineStr">
        <is>
          <t>メンバー6</t>
        </is>
      </c>
      <c r="B11" t="inlineStr">
        <is>
          <t>部署A</t>
        </is>
      </c>
      <c r="C11" t="inlineStr">
        <is>
          <t>通常</t>
        </is>
      </c>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c r="AA11" s="3" t="n"/>
      <c r="AB11" s="3" t="n"/>
      <c r="AC11" s="3" t="n"/>
      <c r="AD11" s="3" t="n"/>
      <c r="AE11" s="3" t="n"/>
      <c r="AF11" s="3" t="n"/>
      <c r="AG11" s="3" t="n"/>
      <c r="AH11" s="3" t="n"/>
    </row>
  </sheetData>
  <autoFilter ref="A5:AH11"/>
  <mergeCells count="1">
    <mergeCell ref="A1:AH1"/>
  </mergeCells>
  <conditionalFormatting sqref="D6:AH11">
    <cfRule type="expression" priority="1" dxfId="0">
      <formula>OR(WEEKDAY(D$5,2)&gt;5,COUNTIF('祝日一覧'!$A$2:$A$1000,D$5)&gt;0)</formula>
    </cfRule>
  </conditionalFormatting>
  <dataValidations count="1">
    <dataValidation sqref="D6 D7 D8 D9 D10 D11 E6 E7 E8 E9 E10 E11 F6 F7 F8 F9 F10 F11 G6 G7 G8 G9 G10 G11 H6 H7 H8 H9 H10 H11 I6 I7 I8 I9 I10 I11 J6 J7 J8 J9 J10 J11 K6 K7 K8 K9 K10 K11 L6 L7 L8 L9 L10 L11 M6 M7 M8 M9 M10 M11 N6 N7 N8 N9 N10 N11 O6 O7 O8 O9 O10 O11 P6 P7 P8 P9 P10 P11 Q6 Q7 Q8 Q9 Q10 Q11 R6 R7 R8 R9 R10 R11 S6 S7 S8 S9 S10 S11 T6 T7 T8 T9 T10 T11 U6 U7 U8 U9 U10 U11 V6 V7 V8 V9 V10 V11 W6 W7 W8 W9 W10 W11 X6 X7 X8 X9 X10 X11 Y6 Y7 Y8 Y9 Y10 Y11 Z6 Z7 Z8 Z9 Z10 Z11 AA6 AA7 AA8 AA9 AA10 AA11 AB6 AB7 AB8 AB9 AB10 AB11 AC6 AC7 AC8 AC9 AC10 AC11 AD6 AD7 AD8 AD9 AD10 AD11 AE6 AE7 AE8 AE9 AE10 AE11 AF6 AF7 AF8 AF9 AF10 AF11 AG6 AG7 AG8 AG9 AG10 AG11 AH6 AH7 AH8 AH9 AH10 AH11" showDropDown="0" showInputMessage="0" showErrorMessage="0" allowBlank="1" errorTitle="入力エラー" error="出勤、休み、有給、半休、遅刻、早退、欠勤、その他のいずれかを選択してください。" promptTitle="勤怠" prompt="状態を選択してください" type="list">
      <formula1>"出勤,休み,有給,半休,遅刻,早退,欠勤,その他"</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15" customWidth="1" min="1" max="1"/>
    <col width="18" customWidth="1" min="2" max="2"/>
  </cols>
  <sheetData>
    <row r="1">
      <c r="A1" s="4" t="inlineStr">
        <is>
          <t>祝日</t>
        </is>
      </c>
      <c r="B1" s="4" t="inlineStr">
        <is>
          <t>備考</t>
        </is>
      </c>
    </row>
    <row r="2">
      <c r="A2" s="5" t="n">
        <v>46023</v>
      </c>
      <c r="B2" s="6" t="inlineStr">
        <is>
          <t>元日</t>
        </is>
      </c>
    </row>
    <row r="3">
      <c r="A3" s="5" t="n">
        <v>46034</v>
      </c>
      <c r="B3" s="6" t="inlineStr">
        <is>
          <t>成人の日</t>
        </is>
      </c>
    </row>
    <row r="4">
      <c r="A4" s="5" t="n">
        <v>46064</v>
      </c>
      <c r="B4" s="6" t="inlineStr">
        <is>
          <t>建国記念の日</t>
        </is>
      </c>
    </row>
    <row r="5">
      <c r="A5" s="5" t="n">
        <v>46076</v>
      </c>
      <c r="B5" s="6" t="inlineStr">
        <is>
          <t>天皇誕生日</t>
        </is>
      </c>
    </row>
    <row r="6">
      <c r="A6" s="5" t="n">
        <v>46101</v>
      </c>
      <c r="B6" s="6" t="inlineStr">
        <is>
          <t>春分の日</t>
        </is>
      </c>
    </row>
    <row r="7">
      <c r="A7" s="5" t="n">
        <v>46141</v>
      </c>
      <c r="B7" s="6" t="inlineStr">
        <is>
          <t>昭和の日</t>
        </is>
      </c>
    </row>
    <row r="8">
      <c r="A8" s="5" t="n">
        <v>46145</v>
      </c>
      <c r="B8" s="6" t="inlineStr">
        <is>
          <t>憲法記念日</t>
        </is>
      </c>
    </row>
    <row r="9">
      <c r="A9" s="5" t="n">
        <v>46146</v>
      </c>
      <c r="B9" s="6" t="inlineStr">
        <is>
          <t>みどりの日</t>
        </is>
      </c>
    </row>
    <row r="10">
      <c r="A10" s="5" t="n">
        <v>46147</v>
      </c>
      <c r="B10" s="6" t="inlineStr">
        <is>
          <t>こどもの日</t>
        </is>
      </c>
    </row>
    <row r="11">
      <c r="A11" s="5" t="n">
        <v>46148</v>
      </c>
      <c r="B11" s="6" t="inlineStr">
        <is>
          <t>振替休日</t>
        </is>
      </c>
    </row>
    <row r="12">
      <c r="A12" s="5" t="n">
        <v>46223</v>
      </c>
      <c r="B12" s="6" t="inlineStr">
        <is>
          <t>海の日</t>
        </is>
      </c>
    </row>
    <row r="13">
      <c r="A13" s="5" t="n">
        <v>46245</v>
      </c>
      <c r="B13" s="6" t="inlineStr">
        <is>
          <t>山の日</t>
        </is>
      </c>
    </row>
    <row r="14">
      <c r="A14" s="5" t="n">
        <v>46286</v>
      </c>
      <c r="B14" s="6" t="inlineStr">
        <is>
          <t>敬老の日</t>
        </is>
      </c>
    </row>
    <row r="15">
      <c r="A15" s="5" t="n">
        <v>46287</v>
      </c>
      <c r="B15" s="6" t="inlineStr">
        <is>
          <t>国民の休日</t>
        </is>
      </c>
    </row>
    <row r="16">
      <c r="A16" s="5" t="n">
        <v>46288</v>
      </c>
      <c r="B16" s="6" t="inlineStr">
        <is>
          <t>秋分の日</t>
        </is>
      </c>
    </row>
    <row r="17">
      <c r="A17" s="5" t="n">
        <v>46307</v>
      </c>
      <c r="B17" s="6" t="inlineStr">
        <is>
          <t>スポーツの日</t>
        </is>
      </c>
    </row>
    <row r="18">
      <c r="A18" s="5" t="n">
        <v>46329</v>
      </c>
      <c r="B18" s="6" t="inlineStr">
        <is>
          <t>文化の日</t>
        </is>
      </c>
    </row>
    <row r="19">
      <c r="A19" s="5" t="n">
        <v>46349</v>
      </c>
      <c r="B19" s="6" t="inlineStr">
        <is>
          <t>勤労感謝の日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7" t="inlineStr">
        <is>
          <t>氏名</t>
        </is>
      </c>
      <c r="B1" s="7" t="inlineStr">
        <is>
          <t>出勤</t>
        </is>
      </c>
      <c r="C1" s="7" t="inlineStr">
        <is>
          <t>休み</t>
        </is>
      </c>
      <c r="D1" s="7" t="inlineStr">
        <is>
          <t>有給</t>
        </is>
      </c>
      <c r="E1" s="7" t="inlineStr">
        <is>
          <t>半休</t>
        </is>
      </c>
      <c r="F1" s="7" t="inlineStr">
        <is>
          <t>遅刻</t>
        </is>
      </c>
      <c r="G1" s="7" t="inlineStr">
        <is>
          <t>早退</t>
        </is>
      </c>
      <c r="H1" s="7" t="inlineStr">
        <is>
          <t>欠勤</t>
        </is>
      </c>
      <c r="I1" s="7" t="inlineStr">
        <is>
          <t>その他</t>
        </is>
      </c>
    </row>
    <row r="2">
      <c r="A2" s="3" t="inlineStr">
        <is>
          <t>メンバー1</t>
        </is>
      </c>
      <c r="B2" s="3">
        <f>COUNTIF(勤怠管理表!D6:AE6,"出勤")</f>
        <v/>
      </c>
      <c r="C2" s="3">
        <f>COUNTIF(勤怠管理表!D6:AE6,"休み")</f>
        <v/>
      </c>
      <c r="D2" s="3">
        <f>COUNTIF(勤怠管理表!D6:AE6,"有給")</f>
        <v/>
      </c>
      <c r="E2" s="3">
        <f>COUNTIF(勤怠管理表!D6:AE6,"半休")</f>
        <v/>
      </c>
      <c r="F2" s="3">
        <f>COUNTIF(勤怠管理表!D6:AE6,"遅刻")</f>
        <v/>
      </c>
      <c r="G2" s="3">
        <f>COUNTIF(勤怠管理表!D6:AE6,"早退")</f>
        <v/>
      </c>
      <c r="H2" s="3">
        <f>COUNTIF(勤怠管理表!D6:AE6,"欠勤")</f>
        <v/>
      </c>
      <c r="I2" s="3">
        <f>COUNTIF(勤怠管理表!D6:AE6,"その他")</f>
        <v/>
      </c>
    </row>
    <row r="3">
      <c r="A3" s="3" t="inlineStr">
        <is>
          <t>メンバー2</t>
        </is>
      </c>
      <c r="B3" s="3">
        <f>COUNTIF(勤怠管理表!D7:AE7,"出勤")</f>
        <v/>
      </c>
      <c r="C3" s="3">
        <f>COUNTIF(勤怠管理表!D7:AE7,"休み")</f>
        <v/>
      </c>
      <c r="D3" s="3">
        <f>COUNTIF(勤怠管理表!D7:AE7,"有給")</f>
        <v/>
      </c>
      <c r="E3" s="3">
        <f>COUNTIF(勤怠管理表!D7:AE7,"半休")</f>
        <v/>
      </c>
      <c r="F3" s="3">
        <f>COUNTIF(勤怠管理表!D7:AE7,"遅刻")</f>
        <v/>
      </c>
      <c r="G3" s="3">
        <f>COUNTIF(勤怠管理表!D7:AE7,"早退")</f>
        <v/>
      </c>
      <c r="H3" s="3">
        <f>COUNTIF(勤怠管理表!D7:AE7,"欠勤")</f>
        <v/>
      </c>
      <c r="I3" s="3">
        <f>COUNTIF(勤怠管理表!D7:AE7,"その他")</f>
        <v/>
      </c>
    </row>
    <row r="4">
      <c r="A4" s="3" t="inlineStr">
        <is>
          <t>メンバー3</t>
        </is>
      </c>
      <c r="B4" s="3">
        <f>COUNTIF(勤怠管理表!D8:AE8,"出勤")</f>
        <v/>
      </c>
      <c r="C4" s="3">
        <f>COUNTIF(勤怠管理表!D8:AE8,"休み")</f>
        <v/>
      </c>
      <c r="D4" s="3">
        <f>COUNTIF(勤怠管理表!D8:AE8,"有給")</f>
        <v/>
      </c>
      <c r="E4" s="3">
        <f>COUNTIF(勤怠管理表!D8:AE8,"半休")</f>
        <v/>
      </c>
      <c r="F4" s="3">
        <f>COUNTIF(勤怠管理表!D8:AE8,"遅刻")</f>
        <v/>
      </c>
      <c r="G4" s="3">
        <f>COUNTIF(勤怠管理表!D8:AE8,"早退")</f>
        <v/>
      </c>
      <c r="H4" s="3">
        <f>COUNTIF(勤怠管理表!D8:AE8,"欠勤")</f>
        <v/>
      </c>
      <c r="I4" s="3">
        <f>COUNTIF(勤怠管理表!D8:AE8,"その他")</f>
        <v/>
      </c>
    </row>
    <row r="5">
      <c r="A5" s="3" t="inlineStr">
        <is>
          <t>メンバー4</t>
        </is>
      </c>
      <c r="B5" s="3">
        <f>COUNTIF(勤怠管理表!D9:AE9,"出勤")</f>
        <v/>
      </c>
      <c r="C5" s="3">
        <f>COUNTIF(勤怠管理表!D9:AE9,"休み")</f>
        <v/>
      </c>
      <c r="D5" s="3">
        <f>COUNTIF(勤怠管理表!D9:AE9,"有給")</f>
        <v/>
      </c>
      <c r="E5" s="3">
        <f>COUNTIF(勤怠管理表!D9:AE9,"半休")</f>
        <v/>
      </c>
      <c r="F5" s="3">
        <f>COUNTIF(勤怠管理表!D9:AE9,"遅刻")</f>
        <v/>
      </c>
      <c r="G5" s="3">
        <f>COUNTIF(勤怠管理表!D9:AE9,"早退")</f>
        <v/>
      </c>
      <c r="H5" s="3">
        <f>COUNTIF(勤怠管理表!D9:AE9,"欠勤")</f>
        <v/>
      </c>
      <c r="I5" s="3">
        <f>COUNTIF(勤怠管理表!D9:AE9,"その他")</f>
        <v/>
      </c>
    </row>
    <row r="6">
      <c r="A6" s="3" t="inlineStr">
        <is>
          <t>メンバー5</t>
        </is>
      </c>
      <c r="B6" s="3">
        <f>COUNTIF(勤怠管理表!D10:AE10,"出勤")</f>
        <v/>
      </c>
      <c r="C6" s="3">
        <f>COUNTIF(勤怠管理表!D10:AE10,"休み")</f>
        <v/>
      </c>
      <c r="D6" s="3">
        <f>COUNTIF(勤怠管理表!D10:AE10,"有給")</f>
        <v/>
      </c>
      <c r="E6" s="3">
        <f>COUNTIF(勤怠管理表!D10:AE10,"半休")</f>
        <v/>
      </c>
      <c r="F6" s="3">
        <f>COUNTIF(勤怠管理表!D10:AE10,"遅刻")</f>
        <v/>
      </c>
      <c r="G6" s="3">
        <f>COUNTIF(勤怠管理表!D10:AE10,"早退")</f>
        <v/>
      </c>
      <c r="H6" s="3">
        <f>COUNTIF(勤怠管理表!D10:AE10,"欠勤")</f>
        <v/>
      </c>
      <c r="I6" s="3">
        <f>COUNTIF(勤怠管理表!D10:AE10,"その他")</f>
        <v/>
      </c>
    </row>
    <row r="7">
      <c r="A7" s="3" t="inlineStr">
        <is>
          <t>メンバー6</t>
        </is>
      </c>
      <c r="B7" s="3">
        <f>COUNTIF(勤怠管理表!D11:AE11,"出勤")</f>
        <v/>
      </c>
      <c r="C7" s="3">
        <f>COUNTIF(勤怠管理表!D11:AE11,"休み")</f>
        <v/>
      </c>
      <c r="D7" s="3">
        <f>COUNTIF(勤怠管理表!D11:AE11,"有給")</f>
        <v/>
      </c>
      <c r="E7" s="3">
        <f>COUNTIF(勤怠管理表!D11:AE11,"半休")</f>
        <v/>
      </c>
      <c r="F7" s="3">
        <f>COUNTIF(勤怠管理表!D11:AE11,"遅刻")</f>
        <v/>
      </c>
      <c r="G7" s="3">
        <f>COUNTIF(勤怠管理表!D11:AE11,"早退")</f>
        <v/>
      </c>
      <c r="H7" s="3">
        <f>COUNTIF(勤怠管理表!D11:AE11,"欠勤")</f>
        <v/>
      </c>
      <c r="I7" s="3">
        <f>COUNTIF(勤怠管理表!D11:AE11,"その他")</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2026-10-27T05:03:26Z</dcterms:created>
  <dcterms:modified xsi:type="dcterms:W3CDTF">2026-10-27T05:03:26Z</dcterms:modified>
</cp:coreProperties>
</file>